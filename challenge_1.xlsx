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padmini\"/>
    </mc:Choice>
  </mc:AlternateContent>
  <bookViews>
    <workbookView xWindow="0" yWindow="0" windowWidth="22260" windowHeight="12645" activeTab="2"/>
  </bookViews>
  <sheets>
    <sheet name="dataset" sheetId="1" r:id="rId1"/>
    <sheet name="workout sheet" sheetId="2" r:id="rId2"/>
    <sheet name="Cleaned sheet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H2" i="2"/>
  <c r="H3" i="2"/>
  <c r="H4" i="2"/>
  <c r="H5" i="2"/>
  <c r="H6" i="2"/>
  <c r="H7" i="2"/>
  <c r="F2" i="2"/>
  <c r="F3" i="2"/>
  <c r="F4" i="2"/>
  <c r="F5" i="2"/>
  <c r="F6" i="2"/>
  <c r="F7" i="2"/>
</calcChain>
</file>

<file path=xl/sharedStrings.xml><?xml version="1.0" encoding="utf-8"?>
<sst xmlns="http://schemas.openxmlformats.org/spreadsheetml/2006/main" count="98" uniqueCount="44">
  <si>
    <t>Emp ID</t>
  </si>
  <si>
    <t>Full Name</t>
  </si>
  <si>
    <t>Department</t>
  </si>
  <si>
    <t>Salary</t>
  </si>
  <si>
    <t>Bonus %</t>
  </si>
  <si>
    <t>Total Salary</t>
  </si>
  <si>
    <t>Email ID</t>
  </si>
  <si>
    <t>Phone Number</t>
  </si>
  <si>
    <t>Ravi Kumar</t>
  </si>
  <si>
    <t>Sales</t>
  </si>
  <si>
    <t>ravikumar@gmail.com</t>
  </si>
  <si>
    <t>Priya Sharma</t>
  </si>
  <si>
    <t>HR</t>
  </si>
  <si>
    <t>priyasharma@gmail.com</t>
  </si>
  <si>
    <t>Arun Kumar</t>
  </si>
  <si>
    <t>IT</t>
  </si>
  <si>
    <t>arunkumar@gmail.com</t>
  </si>
  <si>
    <t>Meena Das</t>
  </si>
  <si>
    <t>Finance</t>
  </si>
  <si>
    <t>meenadas@gmail.com</t>
  </si>
  <si>
    <t>Sita Roy</t>
  </si>
  <si>
    <t>Marketing</t>
  </si>
  <si>
    <t>sitaroy@gmail.com</t>
  </si>
  <si>
    <t>John Peter</t>
  </si>
  <si>
    <t>johnpeter@gmail.com</t>
  </si>
  <si>
    <t>FIRST NAME</t>
  </si>
  <si>
    <t>Ravi</t>
  </si>
  <si>
    <t>Priya</t>
  </si>
  <si>
    <t>Arun</t>
  </si>
  <si>
    <t>Meena</t>
  </si>
  <si>
    <t>Sita</t>
  </si>
  <si>
    <t>John</t>
  </si>
  <si>
    <t>SALARY2</t>
  </si>
  <si>
    <t>Total Salary2</t>
  </si>
  <si>
    <t>Bonus %2</t>
  </si>
  <si>
    <t>COUNTIF IS 2</t>
  </si>
  <si>
    <t>SALARY</t>
  </si>
  <si>
    <t>BONUS%</t>
  </si>
  <si>
    <t>T0TAL SALARY</t>
  </si>
  <si>
    <t>This dataset initially contained missing values in salary and bonus colums also contains duplicate rows</t>
  </si>
  <si>
    <t>Missing Salary was treated using suitable methods,by using the formula is IF(E2="",AVERAGE(E2:E7),E2)</t>
  </si>
  <si>
    <t>Missing bonus values were treated using standardized mean value 11% and also fix the cells IF(G2="",11%,G2)</t>
  </si>
  <si>
    <t>Total salary was calculated using the formula TOTAL SALARY=E2+(E2*G2)</t>
  </si>
  <si>
    <t>Finally using COUNTIF to knows how many employees in IT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</si>
</sst>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5" tint="0.79998168889431442"/>
      <name val="Calibri"/>
      <family val="2"/>
      <scheme val="minor"/>
    </font>
    <font>
      <sz val="14"/>
      <color theme="5" tint="-0.499984740745262"/>
      <name val="Calibri"/>
      <family val="2"/>
      <scheme val="minor"/>
    </font>
    <font>
      <u/>
      <sz val="14"/>
      <color theme="5" tint="-0.49998474074526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vertical="center" wrapText="1"/>
    </xf>
    <xf numFmtId="0" fontId="4" fillId="3" borderId="1" xfId="1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9" fontId="3" fillId="3" borderId="8" xfId="0" applyNumberFormat="1" applyFont="1" applyFill="1" applyBorder="1" applyAlignment="1">
      <alignment vertical="center" wrapText="1"/>
    </xf>
    <xf numFmtId="0" fontId="4" fillId="3" borderId="8" xfId="1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6" fillId="0" borderId="0" xfId="0" applyFont="1"/>
    <xf numFmtId="0" fontId="5" fillId="4" borderId="3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9" fontId="7" fillId="8" borderId="1" xfId="0" applyNumberFormat="1" applyFont="1" applyFill="1" applyBorder="1" applyAlignment="1">
      <alignment horizontal="center" vertical="center" wrapText="1"/>
    </xf>
    <xf numFmtId="9" fontId="7" fillId="8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8" fillId="9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13" formatCode="0%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0" formatCode="General"/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numFmt numFmtId="13" formatCode="0%"/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13" formatCode="0%"/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numFmt numFmtId="13" formatCode="0%"/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0" formatCode="General"/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numFmt numFmtId="13" formatCode="0%"/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5" tint="0.79998168889431442"/>
        <name val="Calibri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H8" totalsRowShown="0" headerRowDxfId="40" headerRowBorderDxfId="39" tableBorderDxfId="38" totalsRowBorderDxfId="37">
  <autoFilter ref="A1:H8"/>
  <tableColumns count="8">
    <tableColumn id="1" name="Emp ID" dataDxfId="36"/>
    <tableColumn id="2" name="Full Name" dataDxfId="35"/>
    <tableColumn id="3" name="Department" dataDxfId="34"/>
    <tableColumn id="4" name="Salary" dataDxfId="33"/>
    <tableColumn id="5" name="Bonus %" dataDxfId="32"/>
    <tableColumn id="6" name="Total Salary" dataDxfId="31"/>
    <tableColumn id="7" name="Email ID" dataDxfId="30" dataCellStyle="Hyperlink"/>
    <tableColumn id="8" name="Phone Number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L7" totalsRowShown="0" headerRowDxfId="28" dataDxfId="26" headerRowBorderDxfId="27" tableBorderDxfId="25" totalsRowBorderDxfId="24">
  <autoFilter ref="A1:L7"/>
  <tableColumns count="12">
    <tableColumn id="1" name="Emp ID" dataDxfId="23"/>
    <tableColumn id="2" name="Full Name" dataDxfId="22"/>
    <tableColumn id="9" name="FIRST NAME" dataDxfId="21"/>
    <tableColumn id="3" name="Department" dataDxfId="20"/>
    <tableColumn id="4" name="Salary" dataDxfId="19"/>
    <tableColumn id="10" name="SALARY2" dataDxfId="18">
      <calculatedColumnFormula>IF(E2="",AVERAGE(E2:E7),E2)</calculatedColumnFormula>
    </tableColumn>
    <tableColumn id="5" name="Bonus %" dataDxfId="17"/>
    <tableColumn id="11" name="Bonus %2" dataDxfId="16">
      <calculatedColumnFormula>IF(G2="",11%,G2)</calculatedColumnFormula>
    </tableColumn>
    <tableColumn id="12" name="Total Salary" dataDxfId="15"/>
    <tableColumn id="6" name="Total Salary2" dataDxfId="14">
      <calculatedColumnFormula>F2+(F2*H2)</calculatedColumnFormula>
    </tableColumn>
    <tableColumn id="7" name="Email ID" dataDxfId="13" dataCellStyle="Hyperlink"/>
    <tableColumn id="8" name="Phone Number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7" totalsRowShown="0" headerRowDxfId="0" headerRowBorderDxfId="10" tableBorderDxfId="11" totalsRowBorderDxfId="9">
  <autoFilter ref="A1:H7"/>
  <tableColumns count="8">
    <tableColumn id="1" name="Emp ID" dataDxfId="8"/>
    <tableColumn id="2" name="FIRST NAME" dataDxfId="7"/>
    <tableColumn id="3" name="Department" dataDxfId="6"/>
    <tableColumn id="4" name="SALARY" dataDxfId="5"/>
    <tableColumn id="5" name="BONUS%" dataDxfId="4"/>
    <tableColumn id="6" name="T0TAL SALARY" dataDxfId="3"/>
    <tableColumn id="7" name="Email ID" dataDxfId="2" dataCellStyle="Hyperlink"/>
    <tableColumn id="8" name="Phone Numb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arunkumar@gmail.com" TargetMode="External"/><Relationship Id="rId7" Type="http://schemas.openxmlformats.org/officeDocument/2006/relationships/hyperlink" Target="mailto:johnpeter@gmail.com" TargetMode="External"/><Relationship Id="rId2" Type="http://schemas.openxmlformats.org/officeDocument/2006/relationships/hyperlink" Target="mailto:priyasharma@gmail.com" TargetMode="External"/><Relationship Id="rId1" Type="http://schemas.openxmlformats.org/officeDocument/2006/relationships/hyperlink" Target="mailto:ravikumar@gmail.com" TargetMode="External"/><Relationship Id="rId6" Type="http://schemas.openxmlformats.org/officeDocument/2006/relationships/hyperlink" Target="mailto:sitaroy@gmail.com" TargetMode="External"/><Relationship Id="rId5" Type="http://schemas.openxmlformats.org/officeDocument/2006/relationships/hyperlink" Target="mailto:ravikumar@gmail.com" TargetMode="External"/><Relationship Id="rId4" Type="http://schemas.openxmlformats.org/officeDocument/2006/relationships/hyperlink" Target="mailto:meenadas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mailto:arunkumar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riyasharma@gmail.com" TargetMode="External"/><Relationship Id="rId1" Type="http://schemas.openxmlformats.org/officeDocument/2006/relationships/hyperlink" Target="mailto:ravikumar@gmail.com" TargetMode="External"/><Relationship Id="rId6" Type="http://schemas.openxmlformats.org/officeDocument/2006/relationships/hyperlink" Target="mailto:johnpeter@gmail.com" TargetMode="External"/><Relationship Id="rId5" Type="http://schemas.openxmlformats.org/officeDocument/2006/relationships/hyperlink" Target="mailto:sitaroy@gmail.com" TargetMode="External"/><Relationship Id="rId4" Type="http://schemas.openxmlformats.org/officeDocument/2006/relationships/hyperlink" Target="mailto:meenadas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arunkumar@gmail.co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priyasharma@gmail.com" TargetMode="External"/><Relationship Id="rId1" Type="http://schemas.openxmlformats.org/officeDocument/2006/relationships/hyperlink" Target="mailto:ravikumar@gmail.com" TargetMode="External"/><Relationship Id="rId6" Type="http://schemas.openxmlformats.org/officeDocument/2006/relationships/hyperlink" Target="mailto:johnpeter@gmail.com" TargetMode="External"/><Relationship Id="rId5" Type="http://schemas.openxmlformats.org/officeDocument/2006/relationships/hyperlink" Target="mailto:sitaroy@gmail.com" TargetMode="External"/><Relationship Id="rId4" Type="http://schemas.openxmlformats.org/officeDocument/2006/relationships/hyperlink" Target="mailto:meenad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I8" sqref="I8"/>
    </sheetView>
  </sheetViews>
  <sheetFormatPr defaultRowHeight="15" x14ac:dyDescent="0.25"/>
  <cols>
    <col min="1" max="1" width="11" customWidth="1"/>
    <col min="2" max="2" width="20.140625" customWidth="1"/>
    <col min="3" max="3" width="20.28515625" customWidth="1"/>
    <col min="4" max="4" width="13.7109375" customWidth="1"/>
    <col min="5" max="5" width="16.7109375" customWidth="1"/>
    <col min="6" max="6" width="16.28515625" customWidth="1"/>
    <col min="7" max="7" width="28.7109375" customWidth="1"/>
    <col min="8" max="8" width="25.7109375" customWidth="1"/>
  </cols>
  <sheetData>
    <row r="1" spans="1:8" ht="56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48.75" customHeight="1" x14ac:dyDescent="0.25">
      <c r="A2" s="4">
        <v>101</v>
      </c>
      <c r="B2" s="5" t="s">
        <v>8</v>
      </c>
      <c r="C2" s="5" t="s">
        <v>9</v>
      </c>
      <c r="D2" s="5">
        <v>25000</v>
      </c>
      <c r="E2" s="6">
        <v>0.1</v>
      </c>
      <c r="F2" s="5"/>
      <c r="G2" s="7" t="s">
        <v>10</v>
      </c>
      <c r="H2" s="8">
        <v>9876543210</v>
      </c>
    </row>
    <row r="3" spans="1:8" ht="40.5" customHeight="1" x14ac:dyDescent="0.25">
      <c r="A3" s="4">
        <v>102</v>
      </c>
      <c r="B3" s="5" t="s">
        <v>11</v>
      </c>
      <c r="C3" s="5" t="s">
        <v>12</v>
      </c>
      <c r="D3" s="5">
        <v>30000</v>
      </c>
      <c r="E3" s="6">
        <v>0.08</v>
      </c>
      <c r="F3" s="5"/>
      <c r="G3" s="7" t="s">
        <v>13</v>
      </c>
      <c r="H3" s="8">
        <v>9876543211</v>
      </c>
    </row>
    <row r="4" spans="1:8" ht="36.75" customHeight="1" x14ac:dyDescent="0.25">
      <c r="A4" s="4">
        <v>103</v>
      </c>
      <c r="B4" s="5" t="s">
        <v>14</v>
      </c>
      <c r="C4" s="5" t="s">
        <v>15</v>
      </c>
      <c r="D4" s="5">
        <v>28000</v>
      </c>
      <c r="E4" s="6">
        <v>0.12</v>
      </c>
      <c r="F4" s="5"/>
      <c r="G4" s="7" t="s">
        <v>16</v>
      </c>
      <c r="H4" s="8">
        <v>9876543212</v>
      </c>
    </row>
    <row r="5" spans="1:8" ht="35.25" customHeight="1" x14ac:dyDescent="0.25">
      <c r="A5" s="4">
        <v>104</v>
      </c>
      <c r="B5" s="5" t="s">
        <v>17</v>
      </c>
      <c r="C5" s="5" t="s">
        <v>18</v>
      </c>
      <c r="D5" s="5"/>
      <c r="E5" s="6">
        <v>0.1</v>
      </c>
      <c r="F5" s="5"/>
      <c r="G5" s="7" t="s">
        <v>19</v>
      </c>
      <c r="H5" s="8">
        <v>9876543213</v>
      </c>
    </row>
    <row r="6" spans="1:8" ht="51.75" customHeight="1" x14ac:dyDescent="0.25">
      <c r="A6" s="4">
        <v>105</v>
      </c>
      <c r="B6" s="5" t="s">
        <v>8</v>
      </c>
      <c r="C6" s="5" t="s">
        <v>9</v>
      </c>
      <c r="D6" s="5">
        <v>25000</v>
      </c>
      <c r="E6" s="6">
        <v>0.1</v>
      </c>
      <c r="F6" s="5"/>
      <c r="G6" s="7" t="s">
        <v>10</v>
      </c>
      <c r="H6" s="8">
        <v>9876543210</v>
      </c>
    </row>
    <row r="7" spans="1:8" ht="36.75" customHeight="1" x14ac:dyDescent="0.25">
      <c r="A7" s="4">
        <v>106</v>
      </c>
      <c r="B7" s="5" t="s">
        <v>20</v>
      </c>
      <c r="C7" s="5" t="s">
        <v>21</v>
      </c>
      <c r="D7" s="5">
        <v>27000</v>
      </c>
      <c r="E7" s="5"/>
      <c r="F7" s="5"/>
      <c r="G7" s="7" t="s">
        <v>22</v>
      </c>
      <c r="H7" s="8">
        <v>9876543215</v>
      </c>
    </row>
    <row r="8" spans="1:8" ht="45.75" customHeight="1" x14ac:dyDescent="0.25">
      <c r="A8" s="9">
        <v>107</v>
      </c>
      <c r="B8" s="10" t="s">
        <v>23</v>
      </c>
      <c r="C8" s="10" t="s">
        <v>15</v>
      </c>
      <c r="D8" s="10">
        <v>32000</v>
      </c>
      <c r="E8" s="11">
        <v>0.15</v>
      </c>
      <c r="F8" s="10"/>
      <c r="G8" s="12" t="s">
        <v>24</v>
      </c>
      <c r="H8" s="13">
        <v>9876543216</v>
      </c>
    </row>
  </sheetData>
  <hyperlinks>
    <hyperlink ref="G2" r:id="rId1" display="mailto:ravikumar@gmail.com"/>
    <hyperlink ref="G3" r:id="rId2" display="mailto:priyasharma@gmail.com"/>
    <hyperlink ref="G4" r:id="rId3" display="mailto:arunkumar@gmail.com"/>
    <hyperlink ref="G5" r:id="rId4" display="mailto:meenadas@gmail.com"/>
    <hyperlink ref="G6" r:id="rId5" display="mailto:ravikumar@gmail.com"/>
    <hyperlink ref="G7" r:id="rId6" display="mailto:sitaroy@gmail.com"/>
    <hyperlink ref="G8" r:id="rId7" display="mailto:johnpeter@gmail.com"/>
  </hyperlinks>
  <pageMargins left="0.7" right="0.7" top="0.75" bottom="0.75" header="0.3" footer="0.3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opLeftCell="D1" workbookViewId="0">
      <selection activeCell="K1" sqref="K1:L7"/>
    </sheetView>
  </sheetViews>
  <sheetFormatPr defaultRowHeight="15" x14ac:dyDescent="0.25"/>
  <cols>
    <col min="1" max="1" width="14.5703125" customWidth="1"/>
    <col min="2" max="3" width="18" customWidth="1"/>
    <col min="4" max="4" width="16.7109375" customWidth="1"/>
    <col min="5" max="6" width="15.85546875" customWidth="1"/>
    <col min="7" max="8" width="15.42578125" customWidth="1"/>
    <col min="9" max="9" width="17" customWidth="1"/>
    <col min="10" max="10" width="18.85546875" customWidth="1"/>
    <col min="11" max="11" width="32.5703125" customWidth="1"/>
    <col min="12" max="12" width="24.85546875" customWidth="1"/>
  </cols>
  <sheetData>
    <row r="1" spans="1:12" s="17" customFormat="1" ht="18.75" x14ac:dyDescent="0.25">
      <c r="A1" s="14" t="s">
        <v>0</v>
      </c>
      <c r="B1" s="15" t="s">
        <v>1</v>
      </c>
      <c r="C1" s="18" t="s">
        <v>25</v>
      </c>
      <c r="D1" s="15" t="s">
        <v>2</v>
      </c>
      <c r="E1" s="15" t="s">
        <v>3</v>
      </c>
      <c r="F1" s="22" t="s">
        <v>32</v>
      </c>
      <c r="G1" s="15" t="s">
        <v>4</v>
      </c>
      <c r="H1" s="22" t="s">
        <v>34</v>
      </c>
      <c r="I1" s="15" t="s">
        <v>5</v>
      </c>
      <c r="J1" s="18" t="s">
        <v>33</v>
      </c>
      <c r="K1" s="15" t="s">
        <v>6</v>
      </c>
      <c r="L1" s="16" t="s">
        <v>7</v>
      </c>
    </row>
    <row r="2" spans="1:12" ht="18.75" x14ac:dyDescent="0.25">
      <c r="A2" s="4">
        <v>101</v>
      </c>
      <c r="B2" s="5" t="s">
        <v>8</v>
      </c>
      <c r="C2" s="19" t="s">
        <v>26</v>
      </c>
      <c r="D2" s="5" t="s">
        <v>9</v>
      </c>
      <c r="E2" s="5">
        <v>25000</v>
      </c>
      <c r="F2" s="23">
        <f t="shared" ref="F2:F7" si="0">IF(E2="",AVERAGE(E2:E7),E2)</f>
        <v>25000</v>
      </c>
      <c r="G2" s="6">
        <v>0.1</v>
      </c>
      <c r="H2" s="25">
        <f t="shared" ref="H2:H7" si="1">IF(G2="",11%,G2)</f>
        <v>0.1</v>
      </c>
      <c r="I2" s="6"/>
      <c r="J2" s="21">
        <f t="shared" ref="J2:J7" si="2">F2+(F2*H2)</f>
        <v>27500</v>
      </c>
      <c r="K2" s="7" t="s">
        <v>10</v>
      </c>
      <c r="L2" s="8">
        <v>9876543210</v>
      </c>
    </row>
    <row r="3" spans="1:12" ht="25.5" customHeight="1" x14ac:dyDescent="0.25">
      <c r="A3" s="4">
        <v>102</v>
      </c>
      <c r="B3" s="5" t="s">
        <v>11</v>
      </c>
      <c r="C3" s="19" t="s">
        <v>27</v>
      </c>
      <c r="D3" s="5" t="s">
        <v>12</v>
      </c>
      <c r="E3" s="5">
        <v>30000</v>
      </c>
      <c r="F3" s="23">
        <f t="shared" si="0"/>
        <v>30000</v>
      </c>
      <c r="G3" s="6">
        <v>0.08</v>
      </c>
      <c r="H3" s="25">
        <f t="shared" si="1"/>
        <v>0.08</v>
      </c>
      <c r="I3" s="6"/>
      <c r="J3" s="21">
        <f t="shared" si="2"/>
        <v>32400</v>
      </c>
      <c r="K3" s="7" t="s">
        <v>13</v>
      </c>
      <c r="L3" s="8">
        <v>9876543211</v>
      </c>
    </row>
    <row r="4" spans="1:12" ht="18.75" x14ac:dyDescent="0.25">
      <c r="A4" s="4">
        <v>103</v>
      </c>
      <c r="B4" s="5" t="s">
        <v>14</v>
      </c>
      <c r="C4" s="19" t="s">
        <v>28</v>
      </c>
      <c r="D4" s="5" t="s">
        <v>15</v>
      </c>
      <c r="E4" s="5">
        <v>28000</v>
      </c>
      <c r="F4" s="23">
        <f t="shared" si="0"/>
        <v>28000</v>
      </c>
      <c r="G4" s="6">
        <v>0.12</v>
      </c>
      <c r="H4" s="25">
        <f t="shared" si="1"/>
        <v>0.12</v>
      </c>
      <c r="I4" s="6"/>
      <c r="J4" s="21">
        <f t="shared" si="2"/>
        <v>31360</v>
      </c>
      <c r="K4" s="7" t="s">
        <v>16</v>
      </c>
      <c r="L4" s="8">
        <v>9876543212</v>
      </c>
    </row>
    <row r="5" spans="1:12" ht="18.75" x14ac:dyDescent="0.25">
      <c r="A5" s="4">
        <v>104</v>
      </c>
      <c r="B5" s="5" t="s">
        <v>17</v>
      </c>
      <c r="C5" s="19" t="s">
        <v>29</v>
      </c>
      <c r="D5" s="5" t="s">
        <v>18</v>
      </c>
      <c r="E5" s="5"/>
      <c r="F5" s="23">
        <f t="shared" si="0"/>
        <v>29500</v>
      </c>
      <c r="G5" s="6">
        <v>0.1</v>
      </c>
      <c r="H5" s="25">
        <f t="shared" si="1"/>
        <v>0.1</v>
      </c>
      <c r="I5" s="6"/>
      <c r="J5" s="21">
        <f t="shared" si="2"/>
        <v>32450</v>
      </c>
      <c r="K5" s="7" t="s">
        <v>19</v>
      </c>
      <c r="L5" s="8">
        <v>9876543213</v>
      </c>
    </row>
    <row r="6" spans="1:12" ht="18.75" x14ac:dyDescent="0.25">
      <c r="A6" s="4">
        <v>106</v>
      </c>
      <c r="B6" s="5" t="s">
        <v>20</v>
      </c>
      <c r="C6" s="19" t="s">
        <v>30</v>
      </c>
      <c r="D6" s="5" t="s">
        <v>21</v>
      </c>
      <c r="E6" s="5">
        <v>27000</v>
      </c>
      <c r="F6" s="23">
        <f t="shared" si="0"/>
        <v>27000</v>
      </c>
      <c r="G6" s="5"/>
      <c r="H6" s="25">
        <f t="shared" si="1"/>
        <v>0.11</v>
      </c>
      <c r="I6" s="5"/>
      <c r="J6" s="21">
        <f t="shared" si="2"/>
        <v>29970</v>
      </c>
      <c r="K6" s="7" t="s">
        <v>22</v>
      </c>
      <c r="L6" s="8">
        <v>9876543215</v>
      </c>
    </row>
    <row r="7" spans="1:12" ht="18.75" x14ac:dyDescent="0.25">
      <c r="A7" s="9">
        <v>107</v>
      </c>
      <c r="B7" s="10" t="s">
        <v>23</v>
      </c>
      <c r="C7" s="20" t="s">
        <v>31</v>
      </c>
      <c r="D7" s="10" t="s">
        <v>15</v>
      </c>
      <c r="E7" s="10">
        <v>32000</v>
      </c>
      <c r="F7" s="24">
        <f t="shared" si="0"/>
        <v>32000</v>
      </c>
      <c r="G7" s="11">
        <v>0.15</v>
      </c>
      <c r="H7" s="26">
        <f t="shared" si="1"/>
        <v>0.15</v>
      </c>
      <c r="I7" s="11"/>
      <c r="J7" s="21">
        <f t="shared" si="2"/>
        <v>36800</v>
      </c>
      <c r="K7" s="12" t="s">
        <v>24</v>
      </c>
      <c r="L7" s="13">
        <v>9876543216</v>
      </c>
    </row>
    <row r="8" spans="1:12" x14ac:dyDescent="0.25">
      <c r="H8" s="27"/>
    </row>
    <row r="10" spans="1:12" x14ac:dyDescent="0.25">
      <c r="C10" s="36" t="s">
        <v>35</v>
      </c>
      <c r="D10" s="36"/>
    </row>
  </sheetData>
  <mergeCells count="1">
    <mergeCell ref="C10:D10"/>
  </mergeCells>
  <hyperlinks>
    <hyperlink ref="K2" r:id="rId1" display="mailto:ravikumar@gmail.com"/>
    <hyperlink ref="K3" r:id="rId2" display="mailto:priyasharma@gmail.com"/>
    <hyperlink ref="K4" r:id="rId3" display="mailto:arunkumar@gmail.com"/>
    <hyperlink ref="K5" r:id="rId4" display="mailto:meenadas@gmail.com"/>
    <hyperlink ref="K6" r:id="rId5" display="mailto:sitaroy@gmail.com"/>
    <hyperlink ref="K7" r:id="rId6" display="mailto:johnpeter@gmail.com"/>
  </hyperlinks>
  <pageMargins left="0.7" right="0.7" top="0.75" bottom="0.75" header="0.3" footer="0.3"/>
  <pageSetup orientation="portrait" r:id="rId7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zoomScaleNormal="100" workbookViewId="0">
      <selection activeCell="G20" sqref="G20"/>
    </sheetView>
  </sheetViews>
  <sheetFormatPr defaultRowHeight="15" x14ac:dyDescent="0.25"/>
  <cols>
    <col min="1" max="1" width="14.5703125" customWidth="1"/>
    <col min="2" max="3" width="18" customWidth="1"/>
    <col min="4" max="4" width="16.7109375" customWidth="1"/>
    <col min="5" max="5" width="13.7109375" customWidth="1"/>
    <col min="6" max="6" width="19.42578125" customWidth="1"/>
    <col min="7" max="7" width="29.7109375" customWidth="1"/>
    <col min="8" max="8" width="22.140625" customWidth="1"/>
    <col min="9" max="9" width="14.5703125" customWidth="1"/>
    <col min="10" max="10" width="18.85546875" customWidth="1"/>
    <col min="11" max="11" width="28.7109375" customWidth="1"/>
    <col min="12" max="12" width="24.85546875" customWidth="1"/>
  </cols>
  <sheetData>
    <row r="1" spans="1:11" ht="18.75" x14ac:dyDescent="0.25">
      <c r="A1" s="37" t="s">
        <v>0</v>
      </c>
      <c r="B1" s="32" t="s">
        <v>25</v>
      </c>
      <c r="C1" s="31" t="s">
        <v>2</v>
      </c>
      <c r="D1" s="31" t="s">
        <v>36</v>
      </c>
      <c r="E1" s="31" t="s">
        <v>37</v>
      </c>
      <c r="F1" s="31" t="s">
        <v>38</v>
      </c>
      <c r="G1" s="31" t="s">
        <v>6</v>
      </c>
      <c r="H1" s="39" t="s">
        <v>7</v>
      </c>
    </row>
    <row r="2" spans="1:11" ht="18.75" x14ac:dyDescent="0.25">
      <c r="A2" s="38">
        <v>101</v>
      </c>
      <c r="B2" s="28" t="s">
        <v>26</v>
      </c>
      <c r="C2" s="30" t="s">
        <v>9</v>
      </c>
      <c r="D2" s="28">
        <v>25000</v>
      </c>
      <c r="E2" s="34">
        <v>0.1</v>
      </c>
      <c r="F2" s="28">
        <v>27500</v>
      </c>
      <c r="G2" s="33" t="s">
        <v>10</v>
      </c>
      <c r="H2" s="40">
        <v>9876543210</v>
      </c>
    </row>
    <row r="3" spans="1:11" ht="18.75" x14ac:dyDescent="0.25">
      <c r="A3" s="38">
        <v>102</v>
      </c>
      <c r="B3" s="28" t="s">
        <v>27</v>
      </c>
      <c r="C3" s="30" t="s">
        <v>12</v>
      </c>
      <c r="D3" s="28">
        <v>30000</v>
      </c>
      <c r="E3" s="34">
        <v>0.08</v>
      </c>
      <c r="F3" s="28">
        <v>32400</v>
      </c>
      <c r="G3" s="33" t="s">
        <v>13</v>
      </c>
      <c r="H3" s="40">
        <v>9876543211</v>
      </c>
    </row>
    <row r="4" spans="1:11" ht="18.75" x14ac:dyDescent="0.25">
      <c r="A4" s="38">
        <v>103</v>
      </c>
      <c r="B4" s="28" t="s">
        <v>28</v>
      </c>
      <c r="C4" s="30" t="s">
        <v>15</v>
      </c>
      <c r="D4" s="28">
        <v>28000</v>
      </c>
      <c r="E4" s="34">
        <v>0.12</v>
      </c>
      <c r="F4" s="28">
        <v>31360</v>
      </c>
      <c r="G4" s="33" t="s">
        <v>16</v>
      </c>
      <c r="H4" s="40">
        <v>9876543212</v>
      </c>
    </row>
    <row r="5" spans="1:11" ht="18.75" x14ac:dyDescent="0.25">
      <c r="A5" s="38">
        <v>104</v>
      </c>
      <c r="B5" s="28" t="s">
        <v>29</v>
      </c>
      <c r="C5" s="30" t="s">
        <v>18</v>
      </c>
      <c r="D5" s="28">
        <v>29500</v>
      </c>
      <c r="E5" s="34">
        <v>0.1</v>
      </c>
      <c r="F5" s="28">
        <v>32450</v>
      </c>
      <c r="G5" s="33" t="s">
        <v>19</v>
      </c>
      <c r="H5" s="40">
        <v>9876543213</v>
      </c>
    </row>
    <row r="6" spans="1:11" ht="18.75" x14ac:dyDescent="0.25">
      <c r="A6" s="38">
        <v>106</v>
      </c>
      <c r="B6" s="28" t="s">
        <v>30</v>
      </c>
      <c r="C6" s="30" t="s">
        <v>21</v>
      </c>
      <c r="D6" s="28">
        <v>27000</v>
      </c>
      <c r="E6" s="34">
        <v>0.11</v>
      </c>
      <c r="F6" s="28">
        <v>29970</v>
      </c>
      <c r="G6" s="33" t="s">
        <v>22</v>
      </c>
      <c r="H6" s="40">
        <v>9876543215</v>
      </c>
      <c r="K6" s="27"/>
    </row>
    <row r="7" spans="1:11" ht="18.75" x14ac:dyDescent="0.25">
      <c r="A7" s="38">
        <v>107</v>
      </c>
      <c r="B7" s="29" t="s">
        <v>31</v>
      </c>
      <c r="C7" s="30" t="s">
        <v>15</v>
      </c>
      <c r="D7" s="28">
        <v>32000</v>
      </c>
      <c r="E7" s="34">
        <v>0.15</v>
      </c>
      <c r="F7" s="28">
        <v>36800</v>
      </c>
      <c r="G7" s="33" t="s">
        <v>24</v>
      </c>
      <c r="H7" s="40">
        <v>9876543216</v>
      </c>
    </row>
    <row r="9" spans="1:11" x14ac:dyDescent="0.25">
      <c r="C9" s="36" t="s">
        <v>35</v>
      </c>
      <c r="D9" s="36"/>
    </row>
    <row r="11" spans="1:11" x14ac:dyDescent="0.25">
      <c r="C11" s="35" t="s">
        <v>39</v>
      </c>
    </row>
    <row r="12" spans="1:11" x14ac:dyDescent="0.25">
      <c r="C12" t="s">
        <v>40</v>
      </c>
    </row>
    <row r="13" spans="1:11" x14ac:dyDescent="0.25">
      <c r="C13" t="s">
        <v>41</v>
      </c>
    </row>
    <row r="14" spans="1:11" x14ac:dyDescent="0.25">
      <c r="C14" t="s">
        <v>42</v>
      </c>
      <c r="F14" s="27"/>
    </row>
    <row r="15" spans="1:11" x14ac:dyDescent="0.25">
      <c r="C15" t="s">
        <v>43</v>
      </c>
    </row>
    <row r="18" spans="1:12" s="17" customFormat="1" x14ac:dyDescent="0.25">
      <c r="A18"/>
      <c r="B18"/>
      <c r="C18"/>
      <c r="D18"/>
      <c r="E18"/>
      <c r="F18"/>
      <c r="G18"/>
      <c r="H18" s="27"/>
      <c r="I18"/>
      <c r="J18"/>
      <c r="K18"/>
      <c r="L18"/>
    </row>
  </sheetData>
  <mergeCells count="1">
    <mergeCell ref="C9:D9"/>
  </mergeCells>
  <hyperlinks>
    <hyperlink ref="G2" r:id="rId1" display="mailto:ravikumar@gmail.com"/>
    <hyperlink ref="G3" r:id="rId2" display="mailto:priyasharma@gmail.com"/>
    <hyperlink ref="G4" r:id="rId3" display="mailto:arunkumar@gmail.com"/>
    <hyperlink ref="G5" r:id="rId4" display="mailto:meenadas@gmail.com"/>
    <hyperlink ref="G6" r:id="rId5" display="mailto:sitaroy@gmail.com"/>
    <hyperlink ref="G7" r:id="rId6" display="mailto:johnpeter@gmail.com"/>
  </hyperlinks>
  <pageMargins left="0.7" right="0.7" top="0.75" bottom="0.75" header="0.3" footer="0.3"/>
  <pageSetup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workout sheet</vt:lpstr>
      <vt:lpstr>Cleaned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2026-04-10T07:32:34Z</dcterms:modified>
</cp:coreProperties>
</file>